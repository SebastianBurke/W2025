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026996\Desktop\W2025\Dev Project II\Assignments\A03\"/>
    </mc:Choice>
  </mc:AlternateContent>
  <xr:revisionPtr revIDLastSave="0" documentId="13_ncr:1_{8C4F2A01-7ECF-4B96-ACDC-374A5116BF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2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C48" i="2"/>
  <c r="C47" i="2"/>
  <c r="C50" i="2"/>
  <c r="C49" i="2"/>
  <c r="C45" i="2"/>
  <c r="C44" i="2"/>
  <c r="C43" i="2"/>
  <c r="C57" i="2"/>
  <c r="C56" i="2"/>
  <c r="C55" i="2"/>
  <c r="C54" i="2"/>
  <c r="C53" i="2"/>
  <c r="C52" i="2"/>
  <c r="C40" i="2"/>
  <c r="C39" i="2"/>
  <c r="C38" i="2"/>
  <c r="C37" i="2"/>
  <c r="C35" i="2"/>
  <c r="C34" i="2"/>
  <c r="C31" i="2"/>
  <c r="C29" i="2"/>
  <c r="C28" i="2"/>
  <c r="C27" i="2"/>
  <c r="C26" i="2"/>
  <c r="C25" i="2"/>
  <c r="C24" i="2"/>
  <c r="C23" i="2"/>
  <c r="C22" i="2"/>
  <c r="C21" i="2"/>
  <c r="C32" i="2"/>
  <c r="D18" i="2"/>
  <c r="E18" i="2"/>
  <c r="C33" i="2"/>
  <c r="C36" i="2"/>
  <c r="C41" i="2"/>
  <c r="C42" i="2"/>
  <c r="C46" i="2"/>
  <c r="C51" i="2"/>
  <c r="C58" i="2"/>
  <c r="C59" i="2"/>
  <c r="C60" i="2"/>
  <c r="C61" i="2"/>
  <c r="C62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sharedStrings.xml><?xml version="1.0" encoding="utf-8"?>
<sst xmlns="http://schemas.openxmlformats.org/spreadsheetml/2006/main" count="259" uniqueCount="130">
  <si>
    <t>Component</t>
  </si>
  <si>
    <t>Test case document</t>
  </si>
  <si>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</si>
  <si>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</si>
  <si>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</si>
  <si>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</si>
  <si>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</si>
  <si>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</si>
  <si>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</si>
  <si>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</si>
  <si>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</si>
  <si>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</si>
  <si>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</si>
  <si>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</si>
  <si>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</si>
  <si>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</si>
  <si>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</si>
  <si>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</si>
  <si>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</si>
  <si>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</si>
  <si>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</si>
  <si>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</si>
  <si>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</si>
  <si>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</si>
  <si>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</si>
  <si>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</si>
  <si>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</si>
  <si>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</si>
  <si>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</si>
  <si>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Ad hoc Bugs go below this line.  In every test run, you can also do an ad hoc bug hunt.  Keep it in the same columns as the formal test run.</t>
  </si>
  <si>
    <t>Sebastian Canales Burke</t>
  </si>
  <si>
    <t xml:space="preserve">HIAAA </t>
  </si>
  <si>
    <t>scanalesburke_K50_A03_System_Test.docx</t>
  </si>
  <si>
    <t>Seb</t>
  </si>
  <si>
    <t>PERF</t>
  </si>
  <si>
    <t>ST</t>
  </si>
  <si>
    <t>Not implemented across all pages.</t>
  </si>
  <si>
    <t>A few crud pages have an irregular layout at the moment.</t>
  </si>
  <si>
    <t>AppAdmins can access all users list at /users</t>
  </si>
  <si>
    <t>Not implemented</t>
  </si>
  <si>
    <t>Purpose</t>
  </si>
  <si>
    <t>Simulate user role changes across two semesters</t>
  </si>
  <si>
    <t>Role updates persist and reflect correctly over time</t>
  </si>
  <si>
    <t>Simulate archiving old user accounts</t>
  </si>
  <si>
    <t>Archived users are removed from the app interface</t>
  </si>
  <si>
    <t>Test semester-end user removal and role reassignment</t>
  </si>
  <si>
    <t>Previous users are removed, and new users assigned</t>
  </si>
  <si>
    <t>Simulate reactivation of inactive user accounts</t>
  </si>
  <si>
    <t>Reactivated users regain previous roles and access</t>
  </si>
  <si>
    <t>Simulate app role structure changes between semesters</t>
  </si>
  <si>
    <t>Old roles are replaced or updated without conflict</t>
  </si>
  <si>
    <t>Verify that App Admins can log in with correct credentials</t>
  </si>
  <si>
    <t>App Admins are redirected to the dashboard after login</t>
  </si>
  <si>
    <t>Verify login fails with incorrect password</t>
  </si>
  <si>
    <t>Error message is shown: 'Invalid credentials'</t>
  </si>
  <si>
    <t>Verify that App Admins can assign a role to a user</t>
  </si>
  <si>
    <t>Selected user is added to the correct role in the app</t>
  </si>
  <si>
    <t>Verify that System Admins can create new App Admins and assign them to an app</t>
  </si>
  <si>
    <t>New App Admin is created and assigned to a designated app</t>
  </si>
  <si>
    <t>Verify that App Admins can create new roles in an app</t>
  </si>
  <si>
    <t>Role appears in the app’s role list after creation</t>
  </si>
  <si>
    <t>Verify that App Admins can remove users from roles</t>
  </si>
  <si>
    <t>User no longer appears under that role in the app</t>
  </si>
  <si>
    <t>Verify that App Admins can add new users to their app</t>
  </si>
  <si>
    <t>New user appears in user list</t>
  </si>
  <si>
    <t>Verify that App Admins can see their assigned apps</t>
  </si>
  <si>
    <t>Apps are listed correctly in the App Admin dashboard view</t>
  </si>
  <si>
    <t>Verify that system admins can see all users</t>
  </si>
  <si>
    <t>Full user list is accessible by system admin</t>
  </si>
  <si>
    <t>Verify that system admins can delete a user</t>
  </si>
  <si>
    <t>User is removed and no longer accessible</t>
  </si>
  <si>
    <t>Verify that App Admins can remove users from the app</t>
  </si>
  <si>
    <t>User is no longer listed in the app and loses access</t>
  </si>
  <si>
    <t>Verify that duplicate users cannot be added to the same app</t>
  </si>
  <si>
    <t>System prevents duplicate entry and shows an error message</t>
  </si>
  <si>
    <t>Verify that App Admins can see all users in their app, sorted</t>
  </si>
  <si>
    <t>Sort results showing all users</t>
  </si>
  <si>
    <t>Verify that role changes take effect immediately</t>
  </si>
  <si>
    <t>Updated roles are reflected as soon as the change is saved</t>
  </si>
  <si>
    <t>Verify consistent layout across all pages</t>
  </si>
  <si>
    <t>All pages have matching headers, footers, and styles</t>
  </si>
  <si>
    <t>Verify intuitive navigation to App Details view</t>
  </si>
  <si>
    <t>Users can easily find and access the App Details page</t>
  </si>
  <si>
    <t>Verify button labels clearly indicate action</t>
  </si>
  <si>
    <t>Labels like “Add Role” and “Remove User” are clear and accurate</t>
  </si>
  <si>
    <t>Verify error messages are user-friendly</t>
  </si>
  <si>
    <t>Errors use simple language and guide the user to fix the issue</t>
  </si>
  <si>
    <t>Verify form fields have helpful placeholder text</t>
  </si>
  <si>
    <t>Fields like email and name include helpful hints or examples</t>
  </si>
  <si>
    <t>Verify color contrast meets accessibility standards</t>
  </si>
  <si>
    <t>Text and background colors meet accessibility guidelines</t>
  </si>
  <si>
    <t>Verify tab navigation is clear and usable</t>
  </si>
  <si>
    <t>Users can switch between tabs (e.g., All Users, Roles) smoothly</t>
  </si>
  <si>
    <t>Verify feedback is shown after actions (e.g., toast or message)</t>
  </si>
  <si>
    <t>Actions like “Add User” show a success/failure message</t>
  </si>
  <si>
    <t>Verify system functions in Google Chrome (latest)</t>
  </si>
  <si>
    <t>All features work correctly with no layout issues</t>
  </si>
  <si>
    <t>Verify system functions in Mozilla Firefox (latest)</t>
  </si>
  <si>
    <t>All features are usable with no performance issues</t>
  </si>
  <si>
    <t>Verify mobile layout on iOS Safari</t>
  </si>
  <si>
    <t>App layout adapts responsively and remains usable</t>
  </si>
  <si>
    <t>Verify system functions in Microsoft Edge</t>
  </si>
  <si>
    <t>All UI and functionality work the same as Chrome</t>
  </si>
  <si>
    <t>Verify behavior on a 1080p vs. 4K screen</t>
  </si>
  <si>
    <t>Content scales correctly without layout breaking</t>
  </si>
  <si>
    <t>Max users loaded in a single app instance</t>
  </si>
  <si>
    <t>1000 users</t>
  </si>
  <si>
    <t>Max roles assigned in a single app</t>
  </si>
  <si>
    <t>50 roles</t>
  </si>
  <si>
    <t>Expected Result || size / amt.</t>
  </si>
  <si>
    <t>Load dashboard with 1000 users</t>
  </si>
  <si>
    <t>Page loads within 2 seconds</t>
  </si>
  <si>
    <t>Submit a new role assignment</t>
  </si>
  <si>
    <t>Action completes within 1 second</t>
  </si>
  <si>
    <t>Verify unauthorized users cannot access admin pages</t>
  </si>
  <si>
    <t>Unauthorized users are redirected or blocked</t>
  </si>
  <si>
    <t>Verify users cannot access app details for apps they don’t belong to</t>
  </si>
  <si>
    <t>Access is denied with a 403 or redirection</t>
  </si>
  <si>
    <t>Verify that user sessions expire after inactivity</t>
  </si>
  <si>
    <t>User is logged out after a set period</t>
  </si>
  <si>
    <t>Verify system prevents XSS attacks in text fields</t>
  </si>
  <si>
    <t>Inputs are sanitized and scripts do not execute</t>
  </si>
  <si>
    <t>Verify that CSRF protection is enabled for form submissions</t>
  </si>
  <si>
    <t>Unauthorized form submissions are rejected</t>
  </si>
  <si>
    <t>Verify that users cannot assign themselves elevated roles</t>
  </si>
  <si>
    <t>System blocks unauthorized role changes</t>
  </si>
  <si>
    <t>Verify login page uses HTTPS</t>
  </si>
  <si>
    <t>Passwords are sent securely and not in plain text</t>
  </si>
  <si>
    <t>Deployed login page has no styling</t>
  </si>
  <si>
    <t>Pagination doesn't work on deployed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</si>
</sst>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 wrapText="1"/>
    </xf>
    <xf numFmtId="0" fontId="2" fillId="0" borderId="41" xfId="0" applyFont="1" applyBorder="1" applyAlignment="1">
      <alignment horizontal="center" vertical="top" wrapText="1"/>
    </xf>
    <xf numFmtId="0" fontId="0" fillId="0" borderId="12" xfId="0" applyFill="1" applyBorder="1" applyAlignment="1">
      <alignment wrapText="1"/>
    </xf>
    <xf numFmtId="0" fontId="1" fillId="0" borderId="35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40" xfId="0" applyBorder="1" applyAlignment="1">
      <alignment wrapText="1"/>
    </xf>
    <xf numFmtId="0" fontId="2" fillId="0" borderId="0" xfId="0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40" xfId="0" applyBorder="1" applyAlignment="1">
      <alignment horizontal="center" wrapText="1"/>
    </xf>
    <xf numFmtId="0" fontId="0" fillId="4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0" borderId="3" xfId="0" applyBorder="1" applyAlignment="1">
      <alignment horizontal="right" wrapText="1"/>
    </xf>
    <xf numFmtId="0" fontId="0" fillId="0" borderId="6" xfId="0" applyBorder="1" applyAlignment="1">
      <alignment horizontal="right" wrapText="1"/>
    </xf>
    <xf numFmtId="0" fontId="0" fillId="0" borderId="0" xfId="0" applyNumberFormat="1" applyAlignment="1">
      <alignment horizontal="center" wrapText="1"/>
    </xf>
    <xf numFmtId="0" fontId="2" fillId="0" borderId="0" xfId="0" applyFont="1" applyAlignment="1">
      <alignment vertical="top" wrapText="1"/>
    </xf>
    <xf numFmtId="0" fontId="0" fillId="0" borderId="12" xfId="0" applyBorder="1" applyAlignment="1">
      <alignment wrapText="1"/>
    </xf>
    <xf numFmtId="0" fontId="0" fillId="0" borderId="27" xfId="0" applyFill="1" applyBorder="1" applyAlignment="1">
      <alignment wrapText="1"/>
    </xf>
    <xf numFmtId="0" fontId="0" fillId="0" borderId="35" xfId="0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39" xfId="0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0" fillId="0" borderId="28" xfId="0" applyFill="1" applyBorder="1" applyAlignment="1">
      <alignment wrapText="1"/>
    </xf>
    <xf numFmtId="0" fontId="0" fillId="0" borderId="20" xfId="0" applyFill="1" applyBorder="1" applyAlignment="1">
      <alignment wrapText="1"/>
    </xf>
    <xf numFmtId="0" fontId="0" fillId="0" borderId="38" xfId="0" applyFill="1" applyBorder="1" applyAlignment="1">
      <alignment wrapText="1"/>
    </xf>
    <xf numFmtId="0" fontId="0" fillId="0" borderId="21" xfId="0" applyFill="1" applyBorder="1" applyAlignment="1">
      <alignment wrapText="1"/>
    </xf>
    <xf numFmtId="0" fontId="0" fillId="3" borderId="4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0" fontId="0" fillId="3" borderId="42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0" borderId="0" xfId="0" applyNumberFormat="1" applyFill="1" applyAlignment="1">
      <alignment horizontal="center" wrapText="1"/>
    </xf>
    <xf numFmtId="0" fontId="1" fillId="0" borderId="27" xfId="0" applyFont="1" applyFill="1" applyBorder="1" applyAlignment="1">
      <alignment wrapText="1"/>
    </xf>
    <xf numFmtId="0" fontId="0" fillId="0" borderId="0" xfId="0" applyAlignment="1"/>
    <xf numFmtId="0" fontId="0" fillId="0" borderId="40" xfId="0" applyBorder="1" applyAlignment="1"/>
    <xf numFmtId="0" fontId="4" fillId="0" borderId="43" xfId="0" applyFont="1" applyBorder="1" applyAlignment="1">
      <alignment vertical="center" wrapText="1"/>
    </xf>
    <xf numFmtId="0" fontId="4" fillId="0" borderId="44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42" xfId="0" applyFont="1" applyBorder="1" applyAlignment="1">
      <alignment vertical="center" wrapText="1"/>
    </xf>
    <xf numFmtId="0" fontId="2" fillId="0" borderId="33" xfId="0" applyNumberFormat="1" applyFont="1" applyBorder="1" applyAlignment="1">
      <alignment horizontal="center" wrapText="1"/>
    </xf>
    <xf numFmtId="0" fontId="2" fillId="0" borderId="34" xfId="0" applyNumberFormat="1" applyFont="1" applyBorder="1" applyAlignment="1">
      <alignment horizontal="center" wrapText="1"/>
    </xf>
    <xf numFmtId="0" fontId="2" fillId="0" borderId="35" xfId="0" applyNumberFormat="1" applyFont="1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3" fillId="0" borderId="13" xfId="0" applyNumberFormat="1" applyFont="1" applyBorder="1" applyAlignment="1">
      <alignment horizontal="center" vertical="top" wrapText="1"/>
    </xf>
    <xf numFmtId="0" fontId="3" fillId="0" borderId="14" xfId="0" applyNumberFormat="1" applyFont="1" applyBorder="1" applyAlignment="1">
      <alignment horizontal="center" vertical="top" wrapText="1"/>
    </xf>
    <xf numFmtId="0" fontId="3" fillId="0" borderId="15" xfId="0" applyNumberFormat="1" applyFont="1" applyBorder="1" applyAlignment="1">
      <alignment horizontal="center" vertical="top" wrapText="1"/>
    </xf>
    <xf numFmtId="0" fontId="1" fillId="5" borderId="16" xfId="0" applyNumberFormat="1" applyFont="1" applyFill="1" applyBorder="1" applyAlignment="1">
      <alignment horizontal="center" wrapText="1"/>
    </xf>
    <xf numFmtId="0" fontId="0" fillId="5" borderId="17" xfId="0" applyNumberFormat="1" applyFill="1" applyBorder="1" applyAlignment="1">
      <alignment horizontal="center" wrapText="1"/>
    </xf>
    <xf numFmtId="0" fontId="0" fillId="5" borderId="18" xfId="0" applyNumberFormat="1" applyFill="1" applyBorder="1" applyAlignment="1">
      <alignment horizontal="center" wrapText="1"/>
    </xf>
    <xf numFmtId="0" fontId="2" fillId="0" borderId="36" xfId="0" applyNumberFormat="1" applyFont="1" applyBorder="1" applyAlignment="1">
      <alignment horizontal="center" wrapText="1"/>
    </xf>
    <xf numFmtId="0" fontId="2" fillId="0" borderId="37" xfId="0" applyNumberFormat="1" applyFont="1" applyBorder="1" applyAlignment="1">
      <alignment horizontal="center" wrapText="1"/>
    </xf>
    <xf numFmtId="0" fontId="2" fillId="0" borderId="38" xfId="0" applyNumberFormat="1" applyFont="1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2" fillId="0" borderId="33" xfId="0" applyNumberFormat="1" applyFont="1" applyFill="1" applyBorder="1" applyAlignment="1">
      <alignment horizontal="center" wrapText="1"/>
    </xf>
    <xf numFmtId="0" fontId="2" fillId="0" borderId="34" xfId="0" applyNumberFormat="1" applyFont="1" applyFill="1" applyBorder="1" applyAlignment="1">
      <alignment horizontal="center" wrapText="1"/>
    </xf>
    <xf numFmtId="0" fontId="2" fillId="0" borderId="35" xfId="0" applyNumberFormat="1" applyFont="1" applyFill="1" applyBorder="1" applyAlignment="1">
      <alignment horizontal="center" wrapText="1"/>
    </xf>
    <xf numFmtId="9" fontId="0" fillId="0" borderId="22" xfId="1" applyFont="1" applyFill="1" applyBorder="1" applyAlignment="1">
      <alignment horizontal="center" wrapText="1"/>
    </xf>
    <xf numFmtId="9" fontId="0" fillId="0" borderId="12" xfId="1" applyFont="1" applyFill="1" applyBorder="1" applyAlignment="1">
      <alignment horizontal="center" wrapText="1"/>
    </xf>
    <xf numFmtId="9" fontId="0" fillId="0" borderId="23" xfId="1" applyFont="1" applyFill="1" applyBorder="1" applyAlignment="1">
      <alignment horizontal="center" wrapText="1"/>
    </xf>
    <xf numFmtId="0" fontId="2" fillId="2" borderId="33" xfId="0" applyNumberFormat="1" applyFont="1" applyFill="1" applyBorder="1" applyAlignment="1">
      <alignment horizontal="center" wrapText="1"/>
    </xf>
    <xf numFmtId="0" fontId="2" fillId="2" borderId="34" xfId="0" applyNumberFormat="1" applyFont="1" applyFill="1" applyBorder="1" applyAlignment="1">
      <alignment horizontal="center" wrapText="1"/>
    </xf>
    <xf numFmtId="0" fontId="2" fillId="2" borderId="35" xfId="0" applyNumberFormat="1" applyFont="1" applyFill="1" applyBorder="1" applyAlignment="1">
      <alignment horizontal="center" wrapText="1"/>
    </xf>
    <xf numFmtId="9" fontId="0" fillId="2" borderId="22" xfId="1" applyFont="1" applyFill="1" applyBorder="1" applyAlignment="1">
      <alignment horizontal="center" wrapText="1"/>
    </xf>
    <xf numFmtId="9" fontId="0" fillId="2" borderId="12" xfId="1" applyFont="1" applyFill="1" applyBorder="1" applyAlignment="1">
      <alignment horizontal="center" wrapText="1"/>
    </xf>
    <xf numFmtId="9" fontId="0" fillId="2" borderId="23" xfId="1" applyFont="1" applyFill="1" applyBorder="1" applyAlignment="1">
      <alignment horizontal="center" wrapText="1"/>
    </xf>
    <xf numFmtId="0" fontId="2" fillId="4" borderId="30" xfId="0" applyNumberFormat="1" applyFont="1" applyFill="1" applyBorder="1" applyAlignment="1">
      <alignment horizontal="center" wrapText="1"/>
    </xf>
    <xf numFmtId="0" fontId="2" fillId="4" borderId="31" xfId="0" applyNumberFormat="1" applyFont="1" applyFill="1" applyBorder="1" applyAlignment="1">
      <alignment horizontal="center" wrapText="1"/>
    </xf>
    <xf numFmtId="0" fontId="2" fillId="4" borderId="32" xfId="0" applyNumberFormat="1" applyFont="1" applyFill="1" applyBorder="1" applyAlignment="1">
      <alignment horizontal="center" wrapText="1"/>
    </xf>
    <xf numFmtId="9" fontId="0" fillId="4" borderId="29" xfId="1" applyFont="1" applyFill="1" applyBorder="1" applyAlignment="1">
      <alignment horizontal="center" wrapText="1"/>
    </xf>
    <xf numFmtId="9" fontId="0" fillId="4" borderId="25" xfId="1" applyFont="1" applyFill="1" applyBorder="1" applyAlignment="1">
      <alignment horizontal="center" wrapText="1"/>
    </xf>
    <xf numFmtId="9" fontId="0" fillId="4" borderId="26" xfId="1" applyFont="1" applyFill="1" applyBorder="1" applyAlignment="1">
      <alignment horizontal="center" wrapText="1"/>
    </xf>
    <xf numFmtId="9" fontId="0" fillId="0" borderId="22" xfId="1" applyFont="1" applyBorder="1" applyAlignment="1">
      <alignment horizontal="center" wrapText="1"/>
    </xf>
    <xf numFmtId="9" fontId="0" fillId="0" borderId="12" xfId="1" applyFont="1" applyBorder="1" applyAlignment="1">
      <alignment horizontal="center" wrapText="1"/>
    </xf>
    <xf numFmtId="9" fontId="0" fillId="0" borderId="23" xfId="1" applyFont="1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16" fontId="1" fillId="0" borderId="28" xfId="0" applyNumberFormat="1" applyFont="1" applyBorder="1" applyAlignment="1">
      <alignment horizontal="center" wrapText="1"/>
    </xf>
    <xf numFmtId="16" fontId="0" fillId="0" borderId="28" xfId="0" applyNumberFormat="1" applyBorder="1" applyAlignment="1">
      <alignment horizontal="center" wrapText="1"/>
    </xf>
    <xf numFmtId="0" fontId="2" fillId="0" borderId="30" xfId="0" applyNumberFormat="1" applyFont="1" applyBorder="1" applyAlignment="1">
      <alignment horizontal="right" wrapText="1"/>
    </xf>
    <xf numFmtId="0" fontId="2" fillId="0" borderId="31" xfId="0" applyNumberFormat="1" applyFont="1" applyBorder="1" applyAlignment="1">
      <alignment horizontal="right" wrapText="1"/>
    </xf>
    <xf numFmtId="0" fontId="2" fillId="0" borderId="32" xfId="0" applyNumberFormat="1" applyFont="1" applyBorder="1" applyAlignment="1">
      <alignment horizontal="right" wrapText="1"/>
    </xf>
    <xf numFmtId="0" fontId="2" fillId="0" borderId="33" xfId="0" applyNumberFormat="1" applyFont="1" applyBorder="1" applyAlignment="1">
      <alignment horizontal="right" wrapText="1"/>
    </xf>
    <xf numFmtId="0" fontId="2" fillId="0" borderId="34" xfId="0" applyNumberFormat="1" applyFont="1" applyBorder="1" applyAlignment="1">
      <alignment horizontal="right" wrapText="1"/>
    </xf>
    <xf numFmtId="0" fontId="2" fillId="0" borderId="35" xfId="0" applyNumberFormat="1" applyFont="1" applyBorder="1" applyAlignment="1">
      <alignment horizontal="right" wrapText="1"/>
    </xf>
    <xf numFmtId="0" fontId="2" fillId="0" borderId="36" xfId="0" applyNumberFormat="1" applyFont="1" applyBorder="1" applyAlignment="1">
      <alignment horizontal="right" wrapText="1"/>
    </xf>
    <xf numFmtId="0" fontId="2" fillId="0" borderId="37" xfId="0" applyNumberFormat="1" applyFont="1" applyBorder="1" applyAlignment="1">
      <alignment horizontal="right" wrapText="1"/>
    </xf>
    <xf numFmtId="0" fontId="2" fillId="0" borderId="38" xfId="0" applyNumberFormat="1" applyFont="1" applyBorder="1" applyAlignment="1">
      <alignment horizontal="right" wrapText="1"/>
    </xf>
    <xf numFmtId="0" fontId="2" fillId="0" borderId="30" xfId="0" applyNumberFormat="1" applyFont="1" applyBorder="1" applyAlignment="1">
      <alignment horizontal="center" wrapText="1"/>
    </xf>
    <xf numFmtId="0" fontId="2" fillId="0" borderId="31" xfId="0" applyNumberFormat="1" applyFont="1" applyBorder="1" applyAlignment="1">
      <alignment horizontal="center" wrapText="1"/>
    </xf>
    <xf numFmtId="0" fontId="2" fillId="0" borderId="32" xfId="0" applyNumberFormat="1" applyFont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88"/>
  <sheetViews>
    <sheetView tabSelected="1" topLeftCell="B30" zoomScale="85" zoomScaleNormal="85" workbookViewId="0">
      <selection activeCell="N37" sqref="N37"/>
    </sheetView>
  </sheetViews>
  <sheetFormatPr defaultRowHeight="12.75" x14ac:dyDescent="0.2"/>
  <cols>
    <col min="1" max="1" width="17" style="9" customWidth="1"/>
    <col min="2" max="2" width="5.140625" style="9" customWidth="1"/>
    <col min="3" max="3" width="8.7109375" style="19" bestFit="1" customWidth="1"/>
    <col min="4" max="4" width="32.7109375" style="19" customWidth="1"/>
    <col min="5" max="5" width="39.85546875" style="19" customWidth="1"/>
    <col min="6" max="6" width="7.7109375" style="9" customWidth="1"/>
    <col min="7" max="7" width="10.42578125" style="10" customWidth="1"/>
    <col min="8" max="8" width="25.7109375" style="9" customWidth="1"/>
    <col min="9" max="9" width="7.7109375" style="9" customWidth="1"/>
    <col min="10" max="10" width="11.28515625" style="9" customWidth="1"/>
    <col min="11" max="11" width="25.7109375" style="9" customWidth="1"/>
    <col min="12" max="16384" width="9.140625" style="9"/>
  </cols>
  <sheetData>
    <row r="1" spans="1:25" x14ac:dyDescent="0.2">
      <c r="C1" s="89" t="s">
        <v>0</v>
      </c>
      <c r="D1" s="90"/>
      <c r="E1" s="91"/>
      <c r="F1" s="9" t="s">
        <v>31</v>
      </c>
    </row>
    <row r="2" spans="1:25" x14ac:dyDescent="0.2">
      <c r="C2" s="92" t="s">
        <v>1</v>
      </c>
      <c r="D2" s="93"/>
      <c r="E2" s="94"/>
      <c r="F2" s="38" t="s">
        <v>32</v>
      </c>
      <c r="G2" s="39"/>
    </row>
    <row r="3" spans="1:25" ht="13.5" thickBot="1" x14ac:dyDescent="0.25">
      <c r="C3" s="95" t="s">
        <v>2</v>
      </c>
      <c r="D3" s="96"/>
      <c r="E3" s="97"/>
      <c r="F3" s="38" t="s">
        <v>30</v>
      </c>
      <c r="G3" s="39"/>
    </row>
    <row r="4" spans="1:25" ht="13.5" thickBot="1" x14ac:dyDescent="0.25">
      <c r="C4" s="11"/>
      <c r="D4" s="11"/>
      <c r="E4" s="11"/>
    </row>
    <row r="5" spans="1:25" x14ac:dyDescent="0.2">
      <c r="C5" s="98" t="s">
        <v>3</v>
      </c>
      <c r="D5" s="99"/>
      <c r="E5" s="100"/>
      <c r="F5" s="83">
        <v>1.1000000000000001</v>
      </c>
      <c r="G5" s="84"/>
      <c r="H5" s="85"/>
      <c r="I5" s="83">
        <v>1.2</v>
      </c>
      <c r="J5" s="84"/>
      <c r="K5" s="85"/>
    </row>
    <row r="6" spans="1:25" x14ac:dyDescent="0.2">
      <c r="C6" s="44" t="s">
        <v>2</v>
      </c>
      <c r="D6" s="45"/>
      <c r="E6" s="46"/>
      <c r="F6" s="86" t="s">
        <v>33</v>
      </c>
      <c r="G6" s="48"/>
      <c r="H6" s="49"/>
      <c r="I6" s="86" t="s">
        <v>33</v>
      </c>
      <c r="J6" s="48"/>
      <c r="K6" s="49"/>
    </row>
    <row r="7" spans="1:25" ht="13.5" thickBot="1" x14ac:dyDescent="0.25">
      <c r="C7" s="56" t="s">
        <v>4</v>
      </c>
      <c r="D7" s="57"/>
      <c r="E7" s="58"/>
      <c r="F7" s="87">
        <v>45761</v>
      </c>
      <c r="G7" s="60"/>
      <c r="H7" s="61"/>
      <c r="I7" s="88">
        <v>45769</v>
      </c>
      <c r="J7" s="60"/>
      <c r="K7" s="61"/>
    </row>
    <row r="8" spans="1:25" ht="13.5" thickBot="1" x14ac:dyDescent="0.25">
      <c r="C8" s="11"/>
      <c r="D8" s="11"/>
      <c r="E8" s="11"/>
      <c r="F8" s="12"/>
      <c r="G8" s="13"/>
      <c r="H8" s="12"/>
      <c r="I8" s="12"/>
      <c r="J8" s="12"/>
      <c r="K8" s="12"/>
    </row>
    <row r="9" spans="1:25" s="14" customFormat="1" x14ac:dyDescent="0.2">
      <c r="A9" s="9"/>
      <c r="B9" s="9"/>
      <c r="C9" s="74" t="s">
        <v>10</v>
      </c>
      <c r="D9" s="75"/>
      <c r="E9" s="76"/>
      <c r="F9" s="77">
        <f>IF(F17=0, 0, F13/F17)</f>
        <v>0.76744186046511631</v>
      </c>
      <c r="G9" s="78"/>
      <c r="H9" s="79"/>
      <c r="I9" s="77">
        <f>IF(I17=0, 0, I13/I17)</f>
        <v>0.7441860465116279</v>
      </c>
      <c r="J9" s="78"/>
      <c r="K9" s="7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</row>
    <row r="10" spans="1:25" x14ac:dyDescent="0.2">
      <c r="C10" s="44" t="s">
        <v>15</v>
      </c>
      <c r="D10" s="45"/>
      <c r="E10" s="46"/>
      <c r="F10" s="80">
        <f>IF(F17=0, 0,(F17-F16)/F17)</f>
        <v>0.93023255813953487</v>
      </c>
      <c r="G10" s="81"/>
      <c r="H10" s="82"/>
      <c r="I10" s="80">
        <f>IF(I17=0, 0,(I17-I16)/I17)</f>
        <v>0.93023255813953487</v>
      </c>
      <c r="J10" s="81"/>
      <c r="K10" s="82"/>
    </row>
    <row r="11" spans="1:25" s="15" customFormat="1" x14ac:dyDescent="0.2">
      <c r="A11" s="9"/>
      <c r="B11" s="9"/>
      <c r="C11" s="62" t="s">
        <v>11</v>
      </c>
      <c r="D11" s="63"/>
      <c r="E11" s="64"/>
      <c r="F11" s="65">
        <f>IF((F13+F14+F15)=0,0,F13/(F13+F14+F15))</f>
        <v>0.82499999999999996</v>
      </c>
      <c r="G11" s="66"/>
      <c r="H11" s="67"/>
      <c r="I11" s="65">
        <f>IF((I13+I14+I15)=0,0,I13/(I13+I14+I15))</f>
        <v>0.8</v>
      </c>
      <c r="J11" s="66"/>
      <c r="K11" s="67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</row>
    <row r="12" spans="1:25" s="16" customFormat="1" x14ac:dyDescent="0.2">
      <c r="A12" s="9"/>
      <c r="B12" s="9"/>
      <c r="C12" s="68" t="s">
        <v>12</v>
      </c>
      <c r="D12" s="69"/>
      <c r="E12" s="70"/>
      <c r="F12" s="71">
        <f>IF((F13+F15)=0,0,F13/(F13+F15))</f>
        <v>0.84615384615384615</v>
      </c>
      <c r="G12" s="72"/>
      <c r="H12" s="73"/>
      <c r="I12" s="71">
        <f>IF((I13+I15)=0,0,I13/(I13+I15))</f>
        <v>0.82051282051282048</v>
      </c>
      <c r="J12" s="72"/>
      <c r="K12" s="73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</row>
    <row r="13" spans="1:25" x14ac:dyDescent="0.2">
      <c r="C13" s="44" t="s">
        <v>13</v>
      </c>
      <c r="D13" s="45"/>
      <c r="E13" s="46"/>
      <c r="F13" s="47">
        <f>COUNTIF(F20:F63,"=pass")</f>
        <v>33</v>
      </c>
      <c r="G13" s="48"/>
      <c r="H13" s="49"/>
      <c r="I13" s="47">
        <f>COUNTIF(I20:I63,"=pass")</f>
        <v>32</v>
      </c>
      <c r="J13" s="48"/>
      <c r="K13" s="49"/>
    </row>
    <row r="14" spans="1:25" x14ac:dyDescent="0.2">
      <c r="C14" s="44" t="s">
        <v>9</v>
      </c>
      <c r="D14" s="45"/>
      <c r="E14" s="46"/>
      <c r="F14" s="47">
        <f>COUNTIF(F20:F63,"=BLK")</f>
        <v>1</v>
      </c>
      <c r="G14" s="48"/>
      <c r="H14" s="49"/>
      <c r="I14" s="47">
        <f>COUNTIF(I20:I63,"=BLK")</f>
        <v>1</v>
      </c>
      <c r="J14" s="48"/>
      <c r="K14" s="49"/>
    </row>
    <row r="15" spans="1:25" x14ac:dyDescent="0.2">
      <c r="C15" s="44" t="s">
        <v>14</v>
      </c>
      <c r="D15" s="45"/>
      <c r="E15" s="46"/>
      <c r="F15" s="47">
        <f>COUNTIF(F20:F63,"=fail")</f>
        <v>6</v>
      </c>
      <c r="G15" s="48"/>
      <c r="H15" s="49"/>
      <c r="I15" s="47">
        <f>COUNTIF(I20:I63,"=fail")</f>
        <v>7</v>
      </c>
      <c r="J15" s="48"/>
      <c r="K15" s="49"/>
    </row>
    <row r="16" spans="1:25" x14ac:dyDescent="0.2">
      <c r="C16" s="44" t="s">
        <v>7</v>
      </c>
      <c r="D16" s="45"/>
      <c r="E16" s="46"/>
      <c r="F16" s="47">
        <f>COUNTIF(F20:F62,"=")+COUNTIF(F20:F62,"Not Run")</f>
        <v>3</v>
      </c>
      <c r="G16" s="48"/>
      <c r="H16" s="49"/>
      <c r="I16" s="47">
        <f>COUNTIF(I20:I62,"=")+COUNTIF(I20:I62,"Not Run")</f>
        <v>3</v>
      </c>
      <c r="J16" s="48"/>
      <c r="K16" s="49"/>
    </row>
    <row r="17" spans="1:11" ht="12.75" customHeight="1" thickBot="1" x14ac:dyDescent="0.25">
      <c r="A17" s="17"/>
      <c r="B17" s="18"/>
      <c r="C17" s="56" t="s">
        <v>8</v>
      </c>
      <c r="D17" s="57"/>
      <c r="E17" s="58"/>
      <c r="F17" s="59">
        <f>COUNTA($C$20:$C$63)-COUNTIF(F20:F63,"=N/A")</f>
        <v>43</v>
      </c>
      <c r="G17" s="60"/>
      <c r="H17" s="61"/>
      <c r="I17" s="59">
        <f>COUNTA($C$20:$C$63)-COUNTIF(I20:I63,"=N/A")</f>
        <v>43</v>
      </c>
      <c r="J17" s="60"/>
      <c r="K17" s="61"/>
    </row>
    <row r="18" spans="1:11" ht="29.25" hidden="1" customHeight="1" x14ac:dyDescent="0.2">
      <c r="D18" s="19">
        <f>COUNTIF(D20:D62,"Y")</f>
        <v>0</v>
      </c>
      <c r="E18" s="19">
        <f>COUNTIF(E20:E62,"Y")</f>
        <v>0</v>
      </c>
      <c r="F18" s="12"/>
      <c r="G18" s="13"/>
      <c r="H18" s="12"/>
      <c r="I18" s="12"/>
      <c r="J18" s="12"/>
      <c r="K18" s="12"/>
    </row>
    <row r="19" spans="1:11" ht="16.5" customHeight="1" thickBot="1" x14ac:dyDescent="0.25">
      <c r="A19" s="20" t="s">
        <v>21</v>
      </c>
      <c r="B19" s="20" t="s">
        <v>22</v>
      </c>
      <c r="C19" s="1" t="s">
        <v>24</v>
      </c>
      <c r="D19" s="1" t="s">
        <v>40</v>
      </c>
      <c r="E19" s="2" t="s">
        <v>109</v>
      </c>
      <c r="F19" s="3" t="s">
        <v>5</v>
      </c>
      <c r="G19" s="4" t="s">
        <v>20</v>
      </c>
      <c r="H19" s="6" t="s">
        <v>6</v>
      </c>
      <c r="I19" s="3" t="s">
        <v>5</v>
      </c>
      <c r="J19" s="4" t="s">
        <v>20</v>
      </c>
      <c r="K19" s="5" t="s">
        <v>6</v>
      </c>
    </row>
    <row r="20" spans="1:11" ht="32.25" thickBot="1" x14ac:dyDescent="0.25">
      <c r="A20" s="21" t="s">
        <v>23</v>
      </c>
      <c r="B20" s="21">
        <v>1</v>
      </c>
      <c r="C20" s="21" t="str">
        <f>CONCATENATE(A20,"-",B20)</f>
        <v>FN-1</v>
      </c>
      <c r="D20" s="40" t="s">
        <v>51</v>
      </c>
      <c r="E20" s="41" t="s">
        <v>52</v>
      </c>
      <c r="F20" s="22" t="s">
        <v>18</v>
      </c>
      <c r="G20" s="7"/>
      <c r="H20" s="23"/>
      <c r="I20" s="22" t="s">
        <v>18</v>
      </c>
      <c r="J20" s="7"/>
      <c r="K20" s="24"/>
    </row>
    <row r="21" spans="1:11" ht="32.25" thickBot="1" x14ac:dyDescent="0.25">
      <c r="A21" s="21" t="s">
        <v>23</v>
      </c>
      <c r="B21" s="21">
        <v>2</v>
      </c>
      <c r="C21" s="21" t="str">
        <f>CONCATENATE(A21,"-",B21)</f>
        <v>FN-2</v>
      </c>
      <c r="D21" s="42" t="s">
        <v>53</v>
      </c>
      <c r="E21" s="43" t="s">
        <v>54</v>
      </c>
      <c r="F21" s="22" t="s">
        <v>18</v>
      </c>
      <c r="G21" s="7"/>
      <c r="H21" s="23"/>
      <c r="I21" s="22" t="s">
        <v>18</v>
      </c>
      <c r="J21" s="7"/>
      <c r="K21" s="24"/>
    </row>
    <row r="22" spans="1:11" ht="32.25" thickBot="1" x14ac:dyDescent="0.25">
      <c r="A22" s="21" t="s">
        <v>23</v>
      </c>
      <c r="B22" s="21">
        <v>3</v>
      </c>
      <c r="C22" s="21" t="str">
        <f>CONCATENATE(A22,"-",B22)</f>
        <v>FN-3</v>
      </c>
      <c r="D22" s="42" t="s">
        <v>55</v>
      </c>
      <c r="E22" s="43" t="s">
        <v>56</v>
      </c>
      <c r="F22" s="22" t="s">
        <v>18</v>
      </c>
      <c r="G22" s="7"/>
      <c r="H22" s="23"/>
      <c r="I22" s="22" t="s">
        <v>18</v>
      </c>
      <c r="J22" s="7"/>
      <c r="K22" s="24"/>
    </row>
    <row r="23" spans="1:11" ht="48" thickBot="1" x14ac:dyDescent="0.25">
      <c r="A23" s="21" t="s">
        <v>23</v>
      </c>
      <c r="B23" s="21">
        <v>4</v>
      </c>
      <c r="C23" s="21" t="str">
        <f t="shared" ref="C23:C31" si="0">CONCATENATE(A23,"-",B23)</f>
        <v>FN-4</v>
      </c>
      <c r="D23" s="42" t="s">
        <v>57</v>
      </c>
      <c r="E23" s="43" t="s">
        <v>58</v>
      </c>
      <c r="F23" s="22" t="s">
        <v>18</v>
      </c>
      <c r="G23" s="7"/>
      <c r="H23" s="23"/>
      <c r="I23" s="22" t="s">
        <v>18</v>
      </c>
      <c r="J23" s="7"/>
      <c r="K23" s="24"/>
    </row>
    <row r="24" spans="1:11" ht="32.25" thickBot="1" x14ac:dyDescent="0.25">
      <c r="A24" s="21" t="s">
        <v>23</v>
      </c>
      <c r="B24" s="21">
        <v>5</v>
      </c>
      <c r="C24" s="21" t="str">
        <f t="shared" si="0"/>
        <v>FN-5</v>
      </c>
      <c r="D24" s="42" t="s">
        <v>59</v>
      </c>
      <c r="E24" s="43" t="s">
        <v>60</v>
      </c>
      <c r="F24" s="22" t="s">
        <v>18</v>
      </c>
      <c r="G24" s="7"/>
      <c r="H24" s="23"/>
      <c r="I24" s="22" t="s">
        <v>18</v>
      </c>
      <c r="J24" s="7"/>
      <c r="K24" s="24"/>
    </row>
    <row r="25" spans="1:11" ht="32.25" thickBot="1" x14ac:dyDescent="0.25">
      <c r="A25" s="21" t="s">
        <v>23</v>
      </c>
      <c r="B25" s="21">
        <v>6</v>
      </c>
      <c r="C25" s="21" t="str">
        <f t="shared" si="0"/>
        <v>FN-6</v>
      </c>
      <c r="D25" s="42" t="s">
        <v>61</v>
      </c>
      <c r="E25" s="43" t="s">
        <v>62</v>
      </c>
      <c r="F25" s="22" t="s">
        <v>18</v>
      </c>
      <c r="G25" s="7"/>
      <c r="H25" s="23"/>
      <c r="I25" s="22" t="s">
        <v>18</v>
      </c>
      <c r="J25" s="7"/>
      <c r="K25" s="24"/>
    </row>
    <row r="26" spans="1:11" ht="32.25" thickBot="1" x14ac:dyDescent="0.25">
      <c r="A26" s="21" t="s">
        <v>23</v>
      </c>
      <c r="B26" s="21">
        <v>7</v>
      </c>
      <c r="C26" s="21" t="str">
        <f t="shared" si="0"/>
        <v>FN-7</v>
      </c>
      <c r="D26" s="42" t="s">
        <v>63</v>
      </c>
      <c r="E26" s="43" t="s">
        <v>64</v>
      </c>
      <c r="F26" s="22" t="s">
        <v>18</v>
      </c>
      <c r="G26" s="7"/>
      <c r="H26" s="23"/>
      <c r="I26" s="22" t="s">
        <v>18</v>
      </c>
      <c r="J26" s="7"/>
      <c r="K26" s="24"/>
    </row>
    <row r="27" spans="1:11" ht="32.25" thickBot="1" x14ac:dyDescent="0.25">
      <c r="A27" s="21" t="s">
        <v>23</v>
      </c>
      <c r="B27" s="21">
        <v>8</v>
      </c>
      <c r="C27" s="21" t="str">
        <f t="shared" si="0"/>
        <v>FN-8</v>
      </c>
      <c r="D27" s="42" t="s">
        <v>65</v>
      </c>
      <c r="E27" s="43" t="s">
        <v>66</v>
      </c>
      <c r="F27" s="22" t="s">
        <v>18</v>
      </c>
      <c r="G27" s="7"/>
      <c r="H27" s="23"/>
      <c r="I27" s="22" t="s">
        <v>18</v>
      </c>
      <c r="J27" s="7"/>
      <c r="K27" s="24"/>
    </row>
    <row r="28" spans="1:11" ht="32.25" thickBot="1" x14ac:dyDescent="0.25">
      <c r="A28" s="21" t="s">
        <v>23</v>
      </c>
      <c r="B28" s="21">
        <v>9</v>
      </c>
      <c r="C28" s="21" t="str">
        <f t="shared" si="0"/>
        <v>FN-9</v>
      </c>
      <c r="D28" s="42" t="s">
        <v>67</v>
      </c>
      <c r="E28" s="43" t="s">
        <v>68</v>
      </c>
      <c r="F28" s="22" t="s">
        <v>18</v>
      </c>
      <c r="G28" s="7"/>
      <c r="H28" s="23"/>
      <c r="I28" s="22" t="s">
        <v>18</v>
      </c>
      <c r="J28" s="7"/>
      <c r="K28" s="24"/>
    </row>
    <row r="29" spans="1:11" ht="32.25" thickBot="1" x14ac:dyDescent="0.25">
      <c r="A29" s="21" t="s">
        <v>23</v>
      </c>
      <c r="B29" s="21">
        <v>10</v>
      </c>
      <c r="C29" s="21" t="str">
        <f t="shared" si="0"/>
        <v>FN-10</v>
      </c>
      <c r="D29" s="42" t="s">
        <v>69</v>
      </c>
      <c r="E29" s="43" t="s">
        <v>70</v>
      </c>
      <c r="F29" s="22" t="s">
        <v>18</v>
      </c>
      <c r="G29" s="7"/>
      <c r="H29" s="23"/>
      <c r="I29" s="22" t="s">
        <v>18</v>
      </c>
      <c r="J29" s="7"/>
      <c r="K29" s="24"/>
    </row>
    <row r="30" spans="1:11" ht="32.25" thickBot="1" x14ac:dyDescent="0.25">
      <c r="A30" s="21" t="s">
        <v>23</v>
      </c>
      <c r="B30" s="21">
        <v>11</v>
      </c>
      <c r="C30" s="21" t="str">
        <f>CONCATENATE(A30,"-",B30)</f>
        <v>FN-11</v>
      </c>
      <c r="D30" s="42" t="s">
        <v>71</v>
      </c>
      <c r="E30" s="43" t="s">
        <v>72</v>
      </c>
      <c r="F30" s="22" t="s">
        <v>18</v>
      </c>
      <c r="G30" s="7"/>
      <c r="H30" s="23"/>
      <c r="I30" s="22" t="s">
        <v>18</v>
      </c>
      <c r="J30" s="7"/>
      <c r="K30" s="24"/>
    </row>
    <row r="31" spans="1:11" ht="32.25" thickBot="1" x14ac:dyDescent="0.25">
      <c r="A31" s="21" t="s">
        <v>23</v>
      </c>
      <c r="B31" s="21">
        <v>12</v>
      </c>
      <c r="C31" s="21" t="str">
        <f t="shared" si="0"/>
        <v>FN-12</v>
      </c>
      <c r="D31" s="42" t="s">
        <v>73</v>
      </c>
      <c r="E31" s="43" t="s">
        <v>74</v>
      </c>
      <c r="F31" s="22" t="s">
        <v>18</v>
      </c>
      <c r="G31" s="7"/>
      <c r="H31" s="23"/>
      <c r="I31" s="22" t="s">
        <v>18</v>
      </c>
      <c r="J31" s="7"/>
      <c r="K31" s="24"/>
    </row>
    <row r="32" spans="1:11" ht="32.25" thickBot="1" x14ac:dyDescent="0.25">
      <c r="A32" s="21" t="s">
        <v>23</v>
      </c>
      <c r="B32" s="21">
        <v>13</v>
      </c>
      <c r="C32" s="21" t="str">
        <f>CONCATENATE(A32,"-",B32)</f>
        <v>FN-13</v>
      </c>
      <c r="D32" s="42" t="s">
        <v>75</v>
      </c>
      <c r="E32" s="43" t="s">
        <v>76</v>
      </c>
      <c r="F32" s="22" t="s">
        <v>18</v>
      </c>
      <c r="G32" s="7"/>
      <c r="H32" s="23"/>
      <c r="I32" s="22" t="s">
        <v>18</v>
      </c>
      <c r="J32" s="7"/>
      <c r="K32" s="24"/>
    </row>
    <row r="33" spans="1:11" ht="32.25" thickBot="1" x14ac:dyDescent="0.25">
      <c r="A33" s="21" t="s">
        <v>23</v>
      </c>
      <c r="B33" s="21">
        <v>14</v>
      </c>
      <c r="C33" s="21" t="str">
        <f t="shared" ref="C33:C62" si="1">CONCATENATE(A33,"-",B33)</f>
        <v>FN-14</v>
      </c>
      <c r="D33" s="42" t="s">
        <v>77</v>
      </c>
      <c r="E33" s="43" t="s">
        <v>78</v>
      </c>
      <c r="F33" s="22" t="s">
        <v>18</v>
      </c>
      <c r="G33" s="7"/>
      <c r="H33" s="23"/>
      <c r="I33" s="22" t="s">
        <v>18</v>
      </c>
      <c r="J33" s="7"/>
      <c r="K33" s="24"/>
    </row>
    <row r="34" spans="1:11" ht="39.75" customHeight="1" thickBot="1" x14ac:dyDescent="0.25">
      <c r="A34" s="21" t="s">
        <v>25</v>
      </c>
      <c r="B34" s="21">
        <v>1</v>
      </c>
      <c r="C34" s="21" t="str">
        <f t="shared" si="1"/>
        <v>US-1</v>
      </c>
      <c r="D34" s="40" t="s">
        <v>79</v>
      </c>
      <c r="E34" s="41" t="s">
        <v>80</v>
      </c>
      <c r="F34" s="22" t="s">
        <v>19</v>
      </c>
      <c r="G34" s="7">
        <v>1686</v>
      </c>
      <c r="H34" s="8" t="s">
        <v>37</v>
      </c>
      <c r="I34" s="22" t="s">
        <v>19</v>
      </c>
      <c r="J34" s="7">
        <v>1781</v>
      </c>
      <c r="K34" s="8" t="s">
        <v>128</v>
      </c>
    </row>
    <row r="35" spans="1:11" ht="32.25" thickBot="1" x14ac:dyDescent="0.25">
      <c r="A35" s="21" t="s">
        <v>25</v>
      </c>
      <c r="B35" s="21">
        <v>2</v>
      </c>
      <c r="C35" s="21" t="str">
        <f t="shared" si="1"/>
        <v>US-2</v>
      </c>
      <c r="D35" s="42" t="s">
        <v>81</v>
      </c>
      <c r="E35" s="43" t="s">
        <v>82</v>
      </c>
      <c r="F35" s="22" t="s">
        <v>18</v>
      </c>
      <c r="G35" s="7"/>
      <c r="H35" s="23"/>
      <c r="I35" s="22" t="s">
        <v>18</v>
      </c>
      <c r="J35" s="7"/>
      <c r="K35" s="23"/>
    </row>
    <row r="36" spans="1:11" ht="32.25" thickBot="1" x14ac:dyDescent="0.25">
      <c r="A36" s="21" t="s">
        <v>25</v>
      </c>
      <c r="B36" s="21">
        <v>3</v>
      </c>
      <c r="C36" s="21" t="str">
        <f t="shared" si="1"/>
        <v>US-3</v>
      </c>
      <c r="D36" s="42" t="s">
        <v>83</v>
      </c>
      <c r="E36" s="43" t="s">
        <v>84</v>
      </c>
      <c r="F36" s="22" t="s">
        <v>18</v>
      </c>
      <c r="G36" s="7"/>
      <c r="H36" s="23"/>
      <c r="I36" s="22" t="s">
        <v>18</v>
      </c>
      <c r="J36" s="7"/>
      <c r="K36" s="23"/>
    </row>
    <row r="37" spans="1:11" ht="32.25" thickBot="1" x14ac:dyDescent="0.25">
      <c r="A37" s="21" t="s">
        <v>25</v>
      </c>
      <c r="B37" s="21">
        <v>4</v>
      </c>
      <c r="C37" s="21" t="str">
        <f t="shared" si="1"/>
        <v>US-4</v>
      </c>
      <c r="D37" s="42" t="s">
        <v>85</v>
      </c>
      <c r="E37" s="43" t="s">
        <v>86</v>
      </c>
      <c r="F37" s="22" t="s">
        <v>18</v>
      </c>
      <c r="G37" s="7"/>
      <c r="H37" s="23"/>
      <c r="I37" s="22" t="s">
        <v>18</v>
      </c>
      <c r="J37" s="7"/>
      <c r="K37" s="23"/>
    </row>
    <row r="38" spans="1:11" ht="32.25" thickBot="1" x14ac:dyDescent="0.25">
      <c r="A38" s="21" t="s">
        <v>25</v>
      </c>
      <c r="B38" s="21">
        <v>5</v>
      </c>
      <c r="C38" s="21" t="str">
        <f t="shared" si="1"/>
        <v>US-5</v>
      </c>
      <c r="D38" s="42" t="s">
        <v>87</v>
      </c>
      <c r="E38" s="43" t="s">
        <v>88</v>
      </c>
      <c r="F38" s="22" t="s">
        <v>19</v>
      </c>
      <c r="G38" s="7">
        <v>1687</v>
      </c>
      <c r="H38" s="8" t="s">
        <v>36</v>
      </c>
      <c r="I38" s="22" t="s">
        <v>19</v>
      </c>
      <c r="J38" s="7"/>
      <c r="K38" s="8"/>
    </row>
    <row r="39" spans="1:11" ht="32.25" thickBot="1" x14ac:dyDescent="0.25">
      <c r="A39" s="21" t="s">
        <v>25</v>
      </c>
      <c r="B39" s="21">
        <v>6</v>
      </c>
      <c r="C39" s="21" t="str">
        <f t="shared" si="1"/>
        <v>US-6</v>
      </c>
      <c r="D39" s="42" t="s">
        <v>89</v>
      </c>
      <c r="E39" s="43" t="s">
        <v>90</v>
      </c>
      <c r="F39" s="22" t="s">
        <v>18</v>
      </c>
      <c r="G39" s="7"/>
      <c r="H39" s="23"/>
      <c r="I39" s="22" t="s">
        <v>18</v>
      </c>
      <c r="J39" s="7"/>
      <c r="K39" s="24"/>
    </row>
    <row r="40" spans="1:11" ht="32.25" thickBot="1" x14ac:dyDescent="0.25">
      <c r="A40" s="21" t="s">
        <v>25</v>
      </c>
      <c r="B40" s="21">
        <v>7</v>
      </c>
      <c r="C40" s="21" t="str">
        <f t="shared" si="1"/>
        <v>US-7</v>
      </c>
      <c r="D40" s="42" t="s">
        <v>91</v>
      </c>
      <c r="E40" s="43" t="s">
        <v>92</v>
      </c>
      <c r="F40" s="22" t="s">
        <v>18</v>
      </c>
      <c r="G40" s="7"/>
      <c r="H40" s="23"/>
      <c r="I40" s="22" t="s">
        <v>19</v>
      </c>
      <c r="J40" s="7">
        <v>1785</v>
      </c>
      <c r="K40" s="24" t="s">
        <v>129</v>
      </c>
    </row>
    <row r="41" spans="1:11" ht="32.25" thickBot="1" x14ac:dyDescent="0.25">
      <c r="A41" s="21" t="s">
        <v>25</v>
      </c>
      <c r="B41" s="21">
        <v>8</v>
      </c>
      <c r="C41" s="21" t="str">
        <f t="shared" si="1"/>
        <v>US-8</v>
      </c>
      <c r="D41" s="42" t="s">
        <v>93</v>
      </c>
      <c r="E41" s="43" t="s">
        <v>94</v>
      </c>
      <c r="F41" s="22" t="s">
        <v>18</v>
      </c>
      <c r="G41" s="7"/>
      <c r="H41" s="23"/>
      <c r="I41" s="22" t="s">
        <v>18</v>
      </c>
      <c r="J41" s="7"/>
      <c r="K41" s="24"/>
    </row>
    <row r="42" spans="1:11" ht="32.25" thickBot="1" x14ac:dyDescent="0.25">
      <c r="A42" s="21" t="s">
        <v>26</v>
      </c>
      <c r="B42" s="21">
        <v>1</v>
      </c>
      <c r="C42" s="21" t="str">
        <f t="shared" si="1"/>
        <v>CO-1</v>
      </c>
      <c r="D42" s="40" t="s">
        <v>95</v>
      </c>
      <c r="E42" s="41" t="s">
        <v>96</v>
      </c>
      <c r="F42" s="37" t="s">
        <v>18</v>
      </c>
      <c r="G42" s="7"/>
      <c r="H42" s="23"/>
      <c r="I42" s="37" t="s">
        <v>18</v>
      </c>
      <c r="J42" s="7"/>
      <c r="K42" s="24"/>
    </row>
    <row r="43" spans="1:11" ht="32.25" thickBot="1" x14ac:dyDescent="0.25">
      <c r="A43" s="21" t="s">
        <v>26</v>
      </c>
      <c r="B43" s="25">
        <v>2</v>
      </c>
      <c r="C43" s="21" t="str">
        <f t="shared" si="1"/>
        <v>CO-2</v>
      </c>
      <c r="D43" s="42" t="s">
        <v>97</v>
      </c>
      <c r="E43" s="43" t="s">
        <v>98</v>
      </c>
      <c r="F43" s="22" t="s">
        <v>18</v>
      </c>
      <c r="G43" s="7"/>
      <c r="H43" s="23"/>
      <c r="I43" s="22" t="s">
        <v>18</v>
      </c>
      <c r="J43" s="7"/>
      <c r="K43" s="24"/>
    </row>
    <row r="44" spans="1:11" ht="32.25" thickBot="1" x14ac:dyDescent="0.25">
      <c r="A44" s="21" t="s">
        <v>26</v>
      </c>
      <c r="B44" s="21">
        <v>3</v>
      </c>
      <c r="C44" s="21" t="str">
        <f t="shared" si="1"/>
        <v>CO-3</v>
      </c>
      <c r="D44" s="42" t="s">
        <v>99</v>
      </c>
      <c r="E44" s="43" t="s">
        <v>100</v>
      </c>
      <c r="F44" s="22" t="s">
        <v>17</v>
      </c>
      <c r="G44" s="7"/>
      <c r="H44" s="23"/>
      <c r="I44" s="22" t="s">
        <v>17</v>
      </c>
      <c r="J44" s="7"/>
      <c r="K44" s="24"/>
    </row>
    <row r="45" spans="1:11" ht="32.25" thickBot="1" x14ac:dyDescent="0.25">
      <c r="A45" s="21" t="s">
        <v>26</v>
      </c>
      <c r="B45" s="21">
        <v>4</v>
      </c>
      <c r="C45" s="21" t="str">
        <f t="shared" si="1"/>
        <v>CO-4</v>
      </c>
      <c r="D45" s="42" t="s">
        <v>101</v>
      </c>
      <c r="E45" s="43" t="s">
        <v>102</v>
      </c>
      <c r="F45" s="22" t="s">
        <v>18</v>
      </c>
      <c r="G45" s="7"/>
      <c r="H45" s="23"/>
      <c r="I45" s="22" t="s">
        <v>18</v>
      </c>
      <c r="J45" s="7"/>
      <c r="K45" s="24"/>
    </row>
    <row r="46" spans="1:11" ht="32.25" thickBot="1" x14ac:dyDescent="0.25">
      <c r="A46" s="21" t="s">
        <v>26</v>
      </c>
      <c r="B46" s="21">
        <v>5</v>
      </c>
      <c r="C46" s="21" t="str">
        <f t="shared" si="1"/>
        <v>CO-5</v>
      </c>
      <c r="D46" s="42" t="s">
        <v>103</v>
      </c>
      <c r="E46" s="43" t="s">
        <v>104</v>
      </c>
      <c r="F46" s="22" t="s">
        <v>18</v>
      </c>
      <c r="G46" s="7"/>
      <c r="H46" s="23"/>
      <c r="I46" s="22" t="s">
        <v>18</v>
      </c>
      <c r="J46" s="7"/>
      <c r="K46" s="24"/>
    </row>
    <row r="47" spans="1:11" ht="32.25" thickBot="1" x14ac:dyDescent="0.25">
      <c r="A47" s="26" t="s">
        <v>35</v>
      </c>
      <c r="B47" s="21">
        <v>1</v>
      </c>
      <c r="C47" s="21" t="str">
        <f t="shared" si="1"/>
        <v>ST-1</v>
      </c>
      <c r="D47" s="40" t="s">
        <v>105</v>
      </c>
      <c r="E47" s="41" t="s">
        <v>106</v>
      </c>
      <c r="F47" s="22" t="s">
        <v>16</v>
      </c>
      <c r="G47" s="7"/>
      <c r="H47" s="23"/>
      <c r="I47" s="22" t="s">
        <v>16</v>
      </c>
      <c r="J47" s="7"/>
      <c r="K47" s="24"/>
    </row>
    <row r="48" spans="1:11" ht="32.25" thickBot="1" x14ac:dyDescent="0.25">
      <c r="A48" s="26" t="s">
        <v>35</v>
      </c>
      <c r="B48" s="21">
        <v>2</v>
      </c>
      <c r="C48" s="21" t="str">
        <f t="shared" si="1"/>
        <v>ST-2</v>
      </c>
      <c r="D48" s="42" t="s">
        <v>107</v>
      </c>
      <c r="E48" s="43" t="s">
        <v>108</v>
      </c>
      <c r="F48" s="22" t="s">
        <v>16</v>
      </c>
      <c r="G48" s="7"/>
      <c r="H48" s="23"/>
      <c r="I48" s="22" t="s">
        <v>16</v>
      </c>
      <c r="J48" s="7"/>
      <c r="K48" s="24"/>
    </row>
    <row r="49" spans="1:11" ht="21" customHeight="1" thickBot="1" x14ac:dyDescent="0.25">
      <c r="A49" s="26" t="s">
        <v>34</v>
      </c>
      <c r="B49" s="21">
        <v>1</v>
      </c>
      <c r="C49" s="21" t="str">
        <f>CONCATENATE(A49,"-",B49)</f>
        <v>PERF-1</v>
      </c>
      <c r="D49" s="40" t="s">
        <v>110</v>
      </c>
      <c r="E49" s="41" t="s">
        <v>111</v>
      </c>
      <c r="F49" s="22" t="s">
        <v>16</v>
      </c>
      <c r="G49" s="7"/>
      <c r="H49" s="23"/>
      <c r="I49" s="22" t="s">
        <v>16</v>
      </c>
      <c r="J49" s="7"/>
      <c r="K49" s="24"/>
    </row>
    <row r="50" spans="1:11" ht="24.75" customHeight="1" thickBot="1" x14ac:dyDescent="0.25">
      <c r="A50" s="26" t="s">
        <v>34</v>
      </c>
      <c r="B50" s="21">
        <v>2</v>
      </c>
      <c r="C50" s="21" t="str">
        <f>CONCATENATE(A50,"-",B50)</f>
        <v>PERF-2</v>
      </c>
      <c r="D50" s="42" t="s">
        <v>112</v>
      </c>
      <c r="E50" s="43" t="s">
        <v>113</v>
      </c>
      <c r="F50" s="22" t="s">
        <v>18</v>
      </c>
      <c r="G50" s="7"/>
      <c r="H50" s="23"/>
      <c r="I50" s="22" t="s">
        <v>18</v>
      </c>
      <c r="J50" s="7"/>
      <c r="K50" s="24"/>
    </row>
    <row r="51" spans="1:11" ht="36" customHeight="1" thickBot="1" x14ac:dyDescent="0.25">
      <c r="A51" s="21" t="s">
        <v>27</v>
      </c>
      <c r="B51" s="21">
        <v>1</v>
      </c>
      <c r="C51" s="21" t="str">
        <f t="shared" si="1"/>
        <v>SE-1</v>
      </c>
      <c r="D51" s="40" t="s">
        <v>114</v>
      </c>
      <c r="E51" s="41" t="s">
        <v>115</v>
      </c>
      <c r="F51" s="22" t="s">
        <v>19</v>
      </c>
      <c r="G51" s="7">
        <v>1499</v>
      </c>
      <c r="H51" s="8" t="s">
        <v>38</v>
      </c>
      <c r="I51" s="22" t="s">
        <v>19</v>
      </c>
      <c r="J51" s="7"/>
      <c r="K51" s="8"/>
    </row>
    <row r="52" spans="1:11" ht="48" thickBot="1" x14ac:dyDescent="0.25">
      <c r="A52" s="21" t="s">
        <v>27</v>
      </c>
      <c r="B52" s="21">
        <v>2</v>
      </c>
      <c r="C52" s="21" t="str">
        <f t="shared" si="1"/>
        <v>SE-2</v>
      </c>
      <c r="D52" s="42" t="s">
        <v>116</v>
      </c>
      <c r="E52" s="43" t="s">
        <v>117</v>
      </c>
      <c r="F52" s="22" t="s">
        <v>18</v>
      </c>
      <c r="H52" s="23"/>
      <c r="I52" s="22" t="s">
        <v>18</v>
      </c>
      <c r="J52" s="10"/>
      <c r="K52" s="23"/>
    </row>
    <row r="53" spans="1:11" ht="32.25" thickBot="1" x14ac:dyDescent="0.25">
      <c r="A53" s="21" t="s">
        <v>27</v>
      </c>
      <c r="B53" s="21">
        <v>3</v>
      </c>
      <c r="C53" s="21" t="str">
        <f t="shared" si="1"/>
        <v>SE-3</v>
      </c>
      <c r="D53" s="42" t="s">
        <v>118</v>
      </c>
      <c r="E53" s="43" t="s">
        <v>119</v>
      </c>
      <c r="F53" s="22" t="s">
        <v>19</v>
      </c>
      <c r="G53" s="7">
        <v>1683</v>
      </c>
      <c r="H53" s="8" t="s">
        <v>39</v>
      </c>
      <c r="I53" s="22" t="s">
        <v>19</v>
      </c>
      <c r="J53" s="7"/>
      <c r="K53" s="8"/>
    </row>
    <row r="54" spans="1:11" ht="32.25" thickBot="1" x14ac:dyDescent="0.25">
      <c r="A54" s="21" t="s">
        <v>27</v>
      </c>
      <c r="B54" s="21">
        <v>4</v>
      </c>
      <c r="C54" s="21" t="str">
        <f t="shared" si="1"/>
        <v>SE-4</v>
      </c>
      <c r="D54" s="42" t="s">
        <v>120</v>
      </c>
      <c r="E54" s="43" t="s">
        <v>121</v>
      </c>
      <c r="F54" s="22" t="s">
        <v>18</v>
      </c>
      <c r="G54" s="7"/>
      <c r="H54" s="23"/>
      <c r="I54" s="22" t="s">
        <v>18</v>
      </c>
      <c r="J54" s="7"/>
      <c r="K54" s="24"/>
    </row>
    <row r="55" spans="1:11" ht="32.25" thickBot="1" x14ac:dyDescent="0.25">
      <c r="A55" s="21" t="s">
        <v>27</v>
      </c>
      <c r="B55" s="21">
        <v>5</v>
      </c>
      <c r="C55" s="21" t="str">
        <f t="shared" si="1"/>
        <v>SE-5</v>
      </c>
      <c r="D55" s="42" t="s">
        <v>122</v>
      </c>
      <c r="E55" s="43" t="s">
        <v>123</v>
      </c>
      <c r="F55" s="22" t="s">
        <v>18</v>
      </c>
      <c r="G55" s="7"/>
      <c r="H55" s="23"/>
      <c r="I55" s="22" t="s">
        <v>18</v>
      </c>
      <c r="J55" s="7"/>
      <c r="K55" s="24"/>
    </row>
    <row r="56" spans="1:11" ht="32.25" thickBot="1" x14ac:dyDescent="0.25">
      <c r="A56" s="21" t="s">
        <v>27</v>
      </c>
      <c r="B56" s="21">
        <v>6</v>
      </c>
      <c r="C56" s="21" t="str">
        <f t="shared" si="1"/>
        <v>SE-6</v>
      </c>
      <c r="D56" s="42" t="s">
        <v>124</v>
      </c>
      <c r="E56" s="43" t="s">
        <v>125</v>
      </c>
      <c r="F56" s="22" t="s">
        <v>18</v>
      </c>
      <c r="G56" s="7"/>
      <c r="H56" s="23"/>
      <c r="I56" s="22" t="s">
        <v>18</v>
      </c>
      <c r="J56" s="7"/>
      <c r="K56" s="24"/>
    </row>
    <row r="57" spans="1:11" ht="32.25" thickBot="1" x14ac:dyDescent="0.25">
      <c r="A57" s="21" t="s">
        <v>27</v>
      </c>
      <c r="B57" s="21">
        <v>7</v>
      </c>
      <c r="C57" s="21" t="str">
        <f t="shared" si="1"/>
        <v>SE-7</v>
      </c>
      <c r="D57" s="42" t="s">
        <v>126</v>
      </c>
      <c r="E57" s="43" t="s">
        <v>127</v>
      </c>
      <c r="F57" s="22" t="s">
        <v>18</v>
      </c>
      <c r="G57" s="7"/>
      <c r="H57" s="23"/>
      <c r="I57" s="22" t="s">
        <v>18</v>
      </c>
      <c r="J57" s="7"/>
      <c r="K57" s="24"/>
    </row>
    <row r="58" spans="1:11" ht="32.25" thickBot="1" x14ac:dyDescent="0.25">
      <c r="A58" s="21" t="s">
        <v>28</v>
      </c>
      <c r="B58" s="21">
        <v>1</v>
      </c>
      <c r="C58" s="21" t="str">
        <f t="shared" si="1"/>
        <v>BC-1</v>
      </c>
      <c r="D58" s="40" t="s">
        <v>41</v>
      </c>
      <c r="E58" s="41" t="s">
        <v>42</v>
      </c>
      <c r="F58" s="22" t="s">
        <v>18</v>
      </c>
      <c r="G58" s="7"/>
      <c r="H58" s="23"/>
      <c r="I58" s="22" t="s">
        <v>18</v>
      </c>
      <c r="J58" s="7"/>
      <c r="K58" s="24"/>
    </row>
    <row r="59" spans="1:11" ht="32.25" thickBot="1" x14ac:dyDescent="0.25">
      <c r="A59" s="21" t="s">
        <v>28</v>
      </c>
      <c r="B59" s="21">
        <v>2</v>
      </c>
      <c r="C59" s="21" t="str">
        <f t="shared" si="1"/>
        <v>BC-2</v>
      </c>
      <c r="D59" s="42" t="s">
        <v>43</v>
      </c>
      <c r="E59" s="43" t="s">
        <v>44</v>
      </c>
      <c r="F59" s="22" t="s">
        <v>19</v>
      </c>
      <c r="G59" s="7">
        <v>1684</v>
      </c>
      <c r="H59" s="8" t="s">
        <v>39</v>
      </c>
      <c r="I59" s="22" t="s">
        <v>19</v>
      </c>
      <c r="J59" s="7"/>
      <c r="K59" s="8"/>
    </row>
    <row r="60" spans="1:11" ht="32.25" thickBot="1" x14ac:dyDescent="0.25">
      <c r="A60" s="21" t="s">
        <v>28</v>
      </c>
      <c r="B60" s="21">
        <v>3</v>
      </c>
      <c r="C60" s="21" t="str">
        <f t="shared" si="1"/>
        <v>BC-3</v>
      </c>
      <c r="D60" s="42" t="s">
        <v>45</v>
      </c>
      <c r="E60" s="43" t="s">
        <v>46</v>
      </c>
      <c r="F60" s="22" t="s">
        <v>18</v>
      </c>
      <c r="G60" s="7"/>
      <c r="H60" s="23"/>
      <c r="I60" s="22" t="s">
        <v>18</v>
      </c>
      <c r="J60" s="7"/>
      <c r="K60" s="23"/>
    </row>
    <row r="61" spans="1:11" ht="32.25" thickBot="1" x14ac:dyDescent="0.25">
      <c r="A61" s="21" t="s">
        <v>28</v>
      </c>
      <c r="B61" s="21">
        <v>4</v>
      </c>
      <c r="C61" s="21" t="str">
        <f t="shared" si="1"/>
        <v>BC-4</v>
      </c>
      <c r="D61" s="42" t="s">
        <v>47</v>
      </c>
      <c r="E61" s="43" t="s">
        <v>48</v>
      </c>
      <c r="F61" s="22" t="s">
        <v>19</v>
      </c>
      <c r="G61" s="7">
        <v>1685</v>
      </c>
      <c r="H61" s="8" t="s">
        <v>39</v>
      </c>
      <c r="I61" s="22" t="s">
        <v>19</v>
      </c>
      <c r="J61" s="7"/>
      <c r="K61" s="8"/>
    </row>
    <row r="62" spans="1:11" ht="32.25" thickBot="1" x14ac:dyDescent="0.25">
      <c r="A62" s="21" t="s">
        <v>28</v>
      </c>
      <c r="B62" s="21">
        <v>5</v>
      </c>
      <c r="C62" s="21" t="str">
        <f t="shared" si="1"/>
        <v>BC-5</v>
      </c>
      <c r="D62" s="42" t="s">
        <v>49</v>
      </c>
      <c r="E62" s="43" t="s">
        <v>50</v>
      </c>
      <c r="F62" s="27" t="s">
        <v>18</v>
      </c>
      <c r="G62" s="28"/>
      <c r="H62" s="29"/>
      <c r="I62" s="27" t="s">
        <v>18</v>
      </c>
      <c r="J62" s="28"/>
      <c r="K62" s="30"/>
    </row>
    <row r="63" spans="1:11" ht="13.5" thickBot="1" x14ac:dyDescent="0.25">
      <c r="D63" s="31"/>
      <c r="E63" s="31"/>
      <c r="F63" s="32"/>
      <c r="G63" s="33"/>
      <c r="H63" s="34"/>
      <c r="I63" s="32"/>
      <c r="J63" s="33"/>
      <c r="K63" s="35"/>
    </row>
    <row r="64" spans="1:11" x14ac:dyDescent="0.2">
      <c r="D64" s="36"/>
    </row>
    <row r="65" spans="3:11" ht="27" customHeight="1" x14ac:dyDescent="0.2">
      <c r="C65" s="50"/>
      <c r="D65" s="51"/>
      <c r="E65" s="51"/>
      <c r="F65" s="51"/>
      <c r="G65" s="51"/>
      <c r="H65" s="51"/>
      <c r="I65" s="51"/>
      <c r="J65" s="51"/>
      <c r="K65" s="52"/>
    </row>
    <row r="66" spans="3:11" ht="13.5" thickBot="1" x14ac:dyDescent="0.25">
      <c r="C66" s="53" t="s">
        <v>29</v>
      </c>
      <c r="D66" s="54"/>
      <c r="E66" s="54"/>
      <c r="F66" s="54"/>
      <c r="G66" s="54"/>
      <c r="H66" s="54"/>
      <c r="I66" s="54"/>
      <c r="J66" s="54"/>
      <c r="K66" s="55"/>
    </row>
    <row r="67" spans="3:11" x14ac:dyDescent="0.2">
      <c r="D67" s="36"/>
      <c r="G67" s="4" t="s">
        <v>20</v>
      </c>
      <c r="H67" s="6" t="s">
        <v>6</v>
      </c>
      <c r="J67" s="4" t="s">
        <v>20</v>
      </c>
      <c r="K67" s="5" t="s">
        <v>6</v>
      </c>
    </row>
    <row r="68" spans="3:11" x14ac:dyDescent="0.2">
      <c r="D68" s="36"/>
    </row>
    <row r="69" spans="3:11" x14ac:dyDescent="0.2">
      <c r="D69" s="36"/>
    </row>
    <row r="70" spans="3:11" x14ac:dyDescent="0.2">
      <c r="D70" s="36"/>
    </row>
    <row r="71" spans="3:11" x14ac:dyDescent="0.2">
      <c r="D71" s="36"/>
    </row>
    <row r="72" spans="3:11" x14ac:dyDescent="0.2">
      <c r="D72" s="36"/>
    </row>
    <row r="73" spans="3:11" x14ac:dyDescent="0.2">
      <c r="D73" s="36"/>
    </row>
    <row r="74" spans="3:11" x14ac:dyDescent="0.2">
      <c r="D74" s="36"/>
    </row>
    <row r="75" spans="3:11" x14ac:dyDescent="0.2">
      <c r="D75" s="36"/>
    </row>
    <row r="76" spans="3:11" x14ac:dyDescent="0.2">
      <c r="D76" s="36"/>
    </row>
    <row r="77" spans="3:11" x14ac:dyDescent="0.2">
      <c r="D77" s="36"/>
    </row>
    <row r="78" spans="3:11" x14ac:dyDescent="0.2">
      <c r="D78" s="36"/>
    </row>
    <row r="79" spans="3:11" x14ac:dyDescent="0.2">
      <c r="D79" s="36"/>
    </row>
    <row r="80" spans="3:11" x14ac:dyDescent="0.2">
      <c r="D80" s="36"/>
    </row>
    <row r="81" spans="4:4" x14ac:dyDescent="0.2">
      <c r="D81" s="36"/>
    </row>
    <row r="82" spans="4:4" x14ac:dyDescent="0.2">
      <c r="D82" s="36"/>
    </row>
    <row r="83" spans="4:4" x14ac:dyDescent="0.2">
      <c r="D83" s="36"/>
    </row>
    <row r="84" spans="4:4" x14ac:dyDescent="0.2">
      <c r="D84" s="36"/>
    </row>
    <row r="85" spans="4:4" x14ac:dyDescent="0.2">
      <c r="D85" s="36"/>
    </row>
    <row r="86" spans="4:4" x14ac:dyDescent="0.2">
      <c r="D86" s="36"/>
    </row>
    <row r="87" spans="4:4" x14ac:dyDescent="0.2">
      <c r="D87" s="36"/>
    </row>
    <row r="88" spans="4:4" x14ac:dyDescent="0.2">
      <c r="D88" s="36"/>
    </row>
  </sheetData>
  <mergeCells count="41">
    <mergeCell ref="C1:E1"/>
    <mergeCell ref="C2:E2"/>
    <mergeCell ref="C3:E3"/>
    <mergeCell ref="C5:E5"/>
    <mergeCell ref="F5:H5"/>
    <mergeCell ref="I5:K5"/>
    <mergeCell ref="C6:E6"/>
    <mergeCell ref="F6:H6"/>
    <mergeCell ref="I6:K6"/>
    <mergeCell ref="C7:E7"/>
    <mergeCell ref="F7:H7"/>
    <mergeCell ref="I7:K7"/>
    <mergeCell ref="C9:E9"/>
    <mergeCell ref="F9:H9"/>
    <mergeCell ref="I9:K9"/>
    <mergeCell ref="C10:E10"/>
    <mergeCell ref="F10:H10"/>
    <mergeCell ref="I10:K10"/>
    <mergeCell ref="C11:E11"/>
    <mergeCell ref="F11:H11"/>
    <mergeCell ref="I11:K11"/>
    <mergeCell ref="C12:E12"/>
    <mergeCell ref="F12:H12"/>
    <mergeCell ref="I12:K12"/>
    <mergeCell ref="C13:E13"/>
    <mergeCell ref="F13:H13"/>
    <mergeCell ref="I13:K13"/>
    <mergeCell ref="C14:E14"/>
    <mergeCell ref="F14:H14"/>
    <mergeCell ref="I14:K14"/>
    <mergeCell ref="C15:E15"/>
    <mergeCell ref="F15:H15"/>
    <mergeCell ref="I15:K15"/>
    <mergeCell ref="C65:K65"/>
    <mergeCell ref="C66:K66"/>
    <mergeCell ref="C16:E16"/>
    <mergeCell ref="F16:H16"/>
    <mergeCell ref="I16:K16"/>
    <mergeCell ref="C17:E17"/>
    <mergeCell ref="F17:H17"/>
    <mergeCell ref="I17:K17"/>
  </mergeCells>
  <conditionalFormatting sqref="G63 J63">
    <cfRule type="expression" dxfId="13" priority="7" stopIfTrue="1">
      <formula>F63="fail"</formula>
    </cfRule>
    <cfRule type="expression" dxfId="12" priority="8" stopIfTrue="1">
      <formula>F63="BLK"</formula>
    </cfRule>
  </conditionalFormatting>
  <conditionalFormatting sqref="H63 K63">
    <cfRule type="expression" dxfId="11" priority="9" stopIfTrue="1">
      <formula>F63="fail"</formula>
    </cfRule>
    <cfRule type="expression" dxfId="10" priority="10" stopIfTrue="1">
      <formula>F63="BLK"</formula>
    </cfRule>
  </conditionalFormatting>
  <conditionalFormatting sqref="F63 I63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C19:F19 C20:C62 F20:F62 I19:I62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63">
    <cfRule type="expression" dxfId="5" priority="1" stopIfTrue="1">
      <formula>I63="fail"</formula>
    </cfRule>
    <cfRule type="expression" dxfId="4" priority="2" stopIfTrue="1">
      <formula>I63="BLK"</formula>
    </cfRule>
  </conditionalFormatting>
  <conditionalFormatting sqref="K63">
    <cfRule type="expression" dxfId="3" priority="3" stopIfTrue="1">
      <formula>I63="fail"</formula>
    </cfRule>
    <cfRule type="expression" dxfId="2" priority="4" stopIfTrue="1">
      <formula>I63="BLK"</formula>
    </cfRule>
  </conditionalFormatting>
  <conditionalFormatting sqref="I63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2">
    <dataValidation type="list" allowBlank="1" showInputMessage="1" showErrorMessage="1" sqref="F63 I63" xr:uid="{00000000-0002-0000-0000-000002000000}">
      <formula1>"pass, BLK, fail, N/A"</formula1>
    </dataValidation>
    <dataValidation type="list" allowBlank="1" showInputMessage="1" showErrorMessage="1" sqref="F20:F62 I20:I62" xr:uid="{00000000-0002-0000-0000-000001000000}">
      <formula1>"PASS,FAIL,BLK,N/A,Not Run"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Canales Burke, Sebastian</cp:lastModifiedBy>
  <cp:lastPrinted>2011-11-10T19:10:39Z</cp:lastPrinted>
  <dcterms:created xsi:type="dcterms:W3CDTF">2004-12-23T18:41:02Z</dcterms:created>
  <dcterms:modified xsi:type="dcterms:W3CDTF">2025-04-22T15:20:13Z</dcterms:modified>
</cp:coreProperties>
</file>